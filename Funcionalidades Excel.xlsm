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slicers/slicer1.xml" ContentType="application/vnd.ms-excel.slicer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slicers/slicer2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isa\Downloads\"/>
    </mc:Choice>
  </mc:AlternateContent>
  <bookViews>
    <workbookView xWindow="1110" yWindow="1305" windowWidth="21600" windowHeight="11205" tabRatio="705" activeTab="1"/>
  </bookViews>
  <sheets>
    <sheet name="Factura" sheetId="1" r:id="rId1"/>
    <sheet name="Histórico" sheetId="4" r:id="rId2"/>
    <sheet name="Clientes" sheetId="2" r:id="rId3"/>
    <sheet name="Servicios" sheetId="3" r:id="rId4"/>
  </sheets>
  <definedNames>
    <definedName name="_xlnm.Print_Area" localSheetId="0">Factura!$A$1:$G$47</definedName>
    <definedName name="Clientes">Tabla1[Cliente]</definedName>
    <definedName name="Descripcion">Tabla2[Descripción]</definedName>
    <definedName name="Producto">Servicios!$J$2:$J$6</definedName>
    <definedName name="SegmentaciónDeDatos_Cliente">#N/A</definedName>
    <definedName name="SegmentaciónDeDatos_Tipo">#N/A</definedName>
    <definedName name="Servicio">Servicios!$I$2:$I$6</definedName>
  </definedNames>
  <calcPr calcId="162913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5"/>
        <x14:slicerCache r:id="rId6"/>
      </x15:slicerCache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8" i="1" l="1"/>
  <c r="F19" i="1"/>
  <c r="G19" i="1" s="1"/>
  <c r="F20" i="1"/>
  <c r="G20" i="1" s="1"/>
  <c r="F21" i="1"/>
  <c r="G21" i="1" s="1"/>
  <c r="F22" i="1"/>
  <c r="G22" i="1" s="1"/>
  <c r="F23" i="1"/>
  <c r="G23" i="1" s="1"/>
  <c r="F24" i="1"/>
  <c r="G24" i="1" s="1"/>
  <c r="F25" i="1"/>
  <c r="G25" i="1" s="1"/>
  <c r="F26" i="1"/>
  <c r="G26" i="1" s="1"/>
  <c r="F27" i="1"/>
  <c r="G27" i="1" s="1"/>
  <c r="F28" i="1"/>
  <c r="G28" i="1" s="1"/>
  <c r="F29" i="1"/>
  <c r="G29" i="1" s="1"/>
  <c r="F30" i="1"/>
  <c r="G30" i="1" s="1"/>
  <c r="F31" i="1"/>
  <c r="G31" i="1" s="1"/>
  <c r="F32" i="1"/>
  <c r="G32" i="1" s="1"/>
  <c r="F33" i="1"/>
  <c r="G33" i="1" s="1"/>
  <c r="F34" i="1"/>
  <c r="G34" i="1" s="1"/>
  <c r="F17" i="1"/>
  <c r="G17" i="1" s="1"/>
  <c r="C13" i="1"/>
  <c r="C12" i="1"/>
  <c r="G9" i="1"/>
  <c r="G18" i="1" l="1"/>
  <c r="G36" i="1" s="1"/>
  <c r="G38" i="1" s="1"/>
  <c r="G40" i="1" l="1"/>
  <c r="G42" i="1" s="1"/>
</calcChain>
</file>

<file path=xl/sharedStrings.xml><?xml version="1.0" encoding="utf-8"?>
<sst xmlns="http://schemas.openxmlformats.org/spreadsheetml/2006/main" count="108" uniqueCount="86">
  <si>
    <t>Precio</t>
  </si>
  <si>
    <t>Total</t>
  </si>
  <si>
    <t>Descripción</t>
  </si>
  <si>
    <t xml:space="preserve"> Bankia: ES3520387220166000391322 </t>
  </si>
  <si>
    <t>Nº Factura:</t>
  </si>
  <si>
    <t>Cliente</t>
  </si>
  <si>
    <t>Cif</t>
  </si>
  <si>
    <t>Nombre Cliente</t>
  </si>
  <si>
    <t>Nº Cif</t>
  </si>
  <si>
    <t>Dirección completa</t>
  </si>
  <si>
    <t>Correo Electrónico</t>
  </si>
  <si>
    <t>Empresa:</t>
  </si>
  <si>
    <t xml:space="preserve">CIF: </t>
  </si>
  <si>
    <t xml:space="preserve">Dirección: </t>
  </si>
  <si>
    <t>Correo electrónico:</t>
  </si>
  <si>
    <t>Fecha Factura:</t>
  </si>
  <si>
    <t xml:space="preserve">Cliente: </t>
  </si>
  <si>
    <t xml:space="preserve">Cif: </t>
  </si>
  <si>
    <t>Fecha Vencimiento:</t>
  </si>
  <si>
    <t>Unidades</t>
  </si>
  <si>
    <t>Base Imponible</t>
  </si>
  <si>
    <t>IVA</t>
  </si>
  <si>
    <t>IRPF</t>
  </si>
  <si>
    <t>Transferencia Bancaria</t>
  </si>
  <si>
    <t>Forma de pago:</t>
  </si>
  <si>
    <t>Observaciones:</t>
  </si>
  <si>
    <t>Tipo</t>
  </si>
  <si>
    <t>Cliente 1</t>
  </si>
  <si>
    <t>Cliente 2</t>
  </si>
  <si>
    <t>Cliente 3</t>
  </si>
  <si>
    <t>Cliente 4</t>
  </si>
  <si>
    <t>Cliente 5</t>
  </si>
  <si>
    <t>123456789A</t>
  </si>
  <si>
    <t>123456789B</t>
  </si>
  <si>
    <t>123456789C</t>
  </si>
  <si>
    <t>123456789D</t>
  </si>
  <si>
    <t>123456789E</t>
  </si>
  <si>
    <t>Dirección Completa</t>
  </si>
  <si>
    <t>C/ Dirección Completa 2, 12345 Provincia 2</t>
  </si>
  <si>
    <t>C/ Dirección Completa 1, 12345 Provincia 1</t>
  </si>
  <si>
    <t>C/ Dirección Completa 3, 12345 Provincia 3</t>
  </si>
  <si>
    <t>C/ Dirección Completa 4, 12345 Provincia 4</t>
  </si>
  <si>
    <t>C/ Dirección Completa 5, 12345 Provincia 5</t>
  </si>
  <si>
    <t>Telefono</t>
  </si>
  <si>
    <t>Email</t>
  </si>
  <si>
    <t>Correo@prueba1.com</t>
  </si>
  <si>
    <t>Correo@prueba2.com</t>
  </si>
  <si>
    <t>Correo@prueba3.com</t>
  </si>
  <si>
    <t>Correo@prueba4.com</t>
  </si>
  <si>
    <t>Correo@prueba5.com</t>
  </si>
  <si>
    <t>Cliente 6</t>
  </si>
  <si>
    <t>Cliente 7</t>
  </si>
  <si>
    <t>Cliente 8</t>
  </si>
  <si>
    <t>Cliente 9</t>
  </si>
  <si>
    <t>Cliente 10</t>
  </si>
  <si>
    <t>123456789F</t>
  </si>
  <si>
    <t>123456789G</t>
  </si>
  <si>
    <t>123456789T</t>
  </si>
  <si>
    <t>123456789R</t>
  </si>
  <si>
    <t>123456789S</t>
  </si>
  <si>
    <t>C/ Dirección Completa 6, 12345 Provincia 6</t>
  </si>
  <si>
    <t>C/ Dirección Completa 7, 12345 Provincia 7</t>
  </si>
  <si>
    <t>C/ Dirección Completa 9, 12345 Provincia 9</t>
  </si>
  <si>
    <t>C/ Dirección Completa 8, 12345 Provincia 8</t>
  </si>
  <si>
    <t>C/ Dirección Completa 10, 12345 Provincia 10</t>
  </si>
  <si>
    <t>Correo@prueba6.com</t>
  </si>
  <si>
    <t>Correo@prueba7.com</t>
  </si>
  <si>
    <t>Correo@prueba8.com</t>
  </si>
  <si>
    <t>Correo@prueba9.com</t>
  </si>
  <si>
    <t>Correo@prueba10.com</t>
  </si>
  <si>
    <t>Servicios</t>
  </si>
  <si>
    <t>Consultoria por hora</t>
  </si>
  <si>
    <t>Gestión Redes Sociales</t>
  </si>
  <si>
    <t>Desarrollo Web</t>
  </si>
  <si>
    <t>Producto</t>
  </si>
  <si>
    <t>Curso Online</t>
  </si>
  <si>
    <t>Formación a empresa</t>
  </si>
  <si>
    <t>Servicio</t>
  </si>
  <si>
    <t>Producto personalizado</t>
  </si>
  <si>
    <t>Envío de Informe mensual</t>
  </si>
  <si>
    <t>Nº Factura</t>
  </si>
  <si>
    <t>Fecha Factura</t>
  </si>
  <si>
    <t>Impuestos</t>
  </si>
  <si>
    <t>Total Factura</t>
  </si>
  <si>
    <t>Fecha Vencimiento</t>
  </si>
  <si>
    <t>Otro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</si>
</sst>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.00\ &quot;€&quot;_-;\-* #,##0.00\ &quot;€&quot;_-;_-* &quot;-&quot;??\ &quot;€&quot;_-;_-@_-"/>
    <numFmt numFmtId="165" formatCode="_-* #,##0\ &quot;€&quot;_-;\-* #,##0\ &quot;€&quot;_-;_-* &quot;-&quot;??\ &quot;€&quot;_-;_-@_-"/>
    <numFmt numFmtId="166" formatCode="_-* #,##0_-;\-* #,##0_-;_-* &quot;-&quot;??_-;_-@_-"/>
  </numFmts>
  <fonts count="24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222222"/>
      <name val="Arial"/>
      <family val="2"/>
    </font>
    <font>
      <sz val="11"/>
      <color theme="1"/>
      <name val="Calibri"/>
      <family val="2"/>
      <scheme val="minor"/>
    </font>
    <font>
      <b/>
      <sz val="18"/>
      <color theme="1"/>
      <name val="Lato"/>
      <family val="2"/>
    </font>
    <font>
      <b/>
      <sz val="11"/>
      <color theme="1"/>
      <name val="Lato"/>
      <family val="2"/>
    </font>
    <font>
      <b/>
      <i/>
      <sz val="11"/>
      <color theme="1"/>
      <name val="Lato"/>
      <family val="2"/>
    </font>
    <font>
      <sz val="11"/>
      <color theme="1"/>
      <name val="Lato"/>
      <family val="2"/>
    </font>
    <font>
      <b/>
      <sz val="16"/>
      <color theme="0"/>
      <name val="Barlow Condensed ExtraBold"/>
    </font>
    <font>
      <b/>
      <sz val="11"/>
      <color theme="1"/>
      <name val="Barlow Condensed"/>
    </font>
    <font>
      <b/>
      <sz val="16"/>
      <color theme="0"/>
      <name val="Barlow Condensed"/>
    </font>
    <font>
      <sz val="12"/>
      <color rgb="FF222222"/>
      <name val="Lato"/>
      <family val="2"/>
    </font>
    <font>
      <b/>
      <sz val="12"/>
      <color theme="1"/>
      <name val="Lato"/>
      <family val="2"/>
    </font>
    <font>
      <b/>
      <sz val="18"/>
      <color theme="0"/>
      <name val="Barlow Condensed"/>
    </font>
    <font>
      <sz val="14"/>
      <color theme="1"/>
      <name val="Lato"/>
      <family val="2"/>
    </font>
    <font>
      <b/>
      <sz val="14"/>
      <color theme="1"/>
      <name val="Lato"/>
      <family val="2"/>
    </font>
    <font>
      <b/>
      <sz val="14"/>
      <color theme="1"/>
      <name val="Barlow Condensed"/>
    </font>
    <font>
      <sz val="12"/>
      <color theme="1"/>
      <name val="Lato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5">
    <xf numFmtId="0" fontId="0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22" fillId="0" borderId="0" applyNumberFormat="0" applyFill="0" applyBorder="0" applyAlignment="0" applyProtection="0"/>
  </cellStyleXfs>
  <cellXfs count="53">
    <xf numFmtId="0" fontId="0" fillId="0" borderId="0" xfId="0"/>
    <xf numFmtId="0" fontId="1" fillId="0" borderId="0" xfId="0" applyFont="1"/>
    <xf numFmtId="0" fontId="2" fillId="0" borderId="0" xfId="0" applyFont="1"/>
    <xf numFmtId="0" fontId="5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 applyFill="1" applyBorder="1"/>
    <xf numFmtId="0" fontId="11" fillId="2" borderId="4" xfId="0" applyFont="1" applyFill="1" applyBorder="1"/>
    <xf numFmtId="0" fontId="10" fillId="0" borderId="0" xfId="0" applyFont="1" applyAlignment="1">
      <alignment horizontal="right"/>
    </xf>
    <xf numFmtId="0" fontId="0" fillId="0" borderId="5" xfId="0" applyBorder="1"/>
    <xf numFmtId="0" fontId="6" fillId="0" borderId="0" xfId="0" applyFont="1" applyAlignment="1">
      <alignment horizontal="center"/>
    </xf>
    <xf numFmtId="3" fontId="6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0" xfId="0" applyBorder="1"/>
    <xf numFmtId="165" fontId="14" fillId="2" borderId="4" xfId="1" applyNumberFormat="1" applyFont="1" applyFill="1" applyBorder="1"/>
    <xf numFmtId="0" fontId="15" fillId="0" borderId="0" xfId="0" applyFont="1"/>
    <xf numFmtId="0" fontId="16" fillId="0" borderId="0" xfId="0" applyFont="1" applyAlignment="1">
      <alignment horizontal="right"/>
    </xf>
    <xf numFmtId="165" fontId="16" fillId="0" borderId="0" xfId="1" applyNumberFormat="1" applyFont="1" applyAlignment="1">
      <alignment horizontal="center"/>
    </xf>
    <xf numFmtId="9" fontId="16" fillId="0" borderId="0" xfId="2" applyFont="1" applyAlignment="1">
      <alignment horizontal="center"/>
    </xf>
    <xf numFmtId="0" fontId="6" fillId="0" borderId="0" xfId="0" applyFont="1" applyAlignment="1">
      <alignment horizontal="right"/>
    </xf>
    <xf numFmtId="0" fontId="0" fillId="0" borderId="0" xfId="0" applyFill="1"/>
    <xf numFmtId="0" fontId="8" fillId="0" borderId="0" xfId="0" applyFont="1" applyFill="1"/>
    <xf numFmtId="0" fontId="14" fillId="0" borderId="0" xfId="0" applyFont="1" applyFill="1" applyBorder="1" applyAlignment="1">
      <alignment horizontal="right"/>
    </xf>
    <xf numFmtId="165" fontId="14" fillId="0" borderId="0" xfId="1" applyNumberFormat="1" applyFont="1" applyFill="1" applyBorder="1"/>
    <xf numFmtId="0" fontId="14" fillId="2" borderId="4" xfId="0" applyFont="1" applyFill="1" applyBorder="1" applyAlignment="1">
      <alignment horizontal="center"/>
    </xf>
    <xf numFmtId="0" fontId="17" fillId="2" borderId="2" xfId="0" applyFont="1" applyFill="1" applyBorder="1" applyAlignment="1">
      <alignment horizontal="center"/>
    </xf>
    <xf numFmtId="0" fontId="17" fillId="2" borderId="3" xfId="0" applyFont="1" applyFill="1" applyBorder="1" applyAlignment="1">
      <alignment horizontal="center"/>
    </xf>
    <xf numFmtId="0" fontId="18" fillId="0" borderId="0" xfId="0" applyFont="1"/>
    <xf numFmtId="0" fontId="8" fillId="0" borderId="0" xfId="0" applyFont="1" applyBorder="1"/>
    <xf numFmtId="14" fontId="18" fillId="0" borderId="4" xfId="0" applyNumberFormat="1" applyFont="1" applyBorder="1" applyAlignment="1">
      <alignment horizontal="center"/>
    </xf>
    <xf numFmtId="0" fontId="22" fillId="0" borderId="0" xfId="4"/>
    <xf numFmtId="0" fontId="20" fillId="3" borderId="0" xfId="0" applyFont="1" applyFill="1"/>
    <xf numFmtId="165" fontId="0" fillId="0" borderId="0" xfId="1" applyNumberFormat="1" applyFont="1"/>
    <xf numFmtId="0" fontId="19" fillId="2" borderId="0" xfId="0" applyFont="1" applyFill="1"/>
    <xf numFmtId="0" fontId="13" fillId="0" borderId="4" xfId="0" applyNumberFormat="1" applyFont="1" applyBorder="1" applyAlignment="1">
      <alignment horizontal="center"/>
    </xf>
    <xf numFmtId="0" fontId="23" fillId="0" borderId="0" xfId="0" applyFont="1" applyFill="1"/>
    <xf numFmtId="14" fontId="23" fillId="0" borderId="0" xfId="0" applyNumberFormat="1" applyFont="1" applyFill="1"/>
    <xf numFmtId="0" fontId="0" fillId="2" borderId="0" xfId="0" applyFill="1"/>
    <xf numFmtId="165" fontId="8" fillId="0" borderId="5" xfId="1" applyNumberFormat="1" applyFont="1" applyBorder="1" applyAlignment="1"/>
    <xf numFmtId="166" fontId="8" fillId="0" borderId="0" xfId="3" applyNumberFormat="1" applyFont="1" applyBorder="1" applyAlignment="1">
      <alignment horizontal="center"/>
    </xf>
    <xf numFmtId="165" fontId="8" fillId="0" borderId="0" xfId="1" applyNumberFormat="1" applyFont="1" applyBorder="1" applyAlignment="1"/>
    <xf numFmtId="166" fontId="8" fillId="0" borderId="0" xfId="3" applyNumberFormat="1" applyFont="1" applyBorder="1" applyAlignment="1"/>
    <xf numFmtId="0" fontId="21" fillId="0" borderId="0" xfId="0" applyFont="1"/>
    <xf numFmtId="0" fontId="12" fillId="0" borderId="0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7" fillId="2" borderId="1" xfId="0" applyFont="1" applyFill="1" applyBorder="1" applyAlignment="1">
      <alignment horizontal="center"/>
    </xf>
    <xf numFmtId="0" fontId="17" fillId="2" borderId="2" xfId="0" applyFont="1" applyFill="1" applyBorder="1" applyAlignment="1">
      <alignment horizontal="center"/>
    </xf>
    <xf numFmtId="0" fontId="11" fillId="2" borderId="1" xfId="0" applyFont="1" applyFill="1" applyBorder="1" applyAlignment="1">
      <alignment horizontal="center"/>
    </xf>
    <xf numFmtId="0" fontId="11" fillId="2" borderId="2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 applyBorder="1" applyAlignment="1">
      <alignment horizontal="center"/>
    </xf>
  </cellXfs>
  <cellStyles count="5">
    <cellStyle name="Hipervínculo" xfId="4" builtinId="8"/>
    <cellStyle name="Millares" xfId="3" builtinId="3"/>
    <cellStyle name="Moneda" xfId="1" builtinId="4"/>
    <cellStyle name="Normal" xfId="0" builtinId="0"/>
    <cellStyle name="Porcentaje" xfId="2" builtinId="5"/>
  </cellStyles>
  <dxfs count="14"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dd/m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dd/m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&quot;€&quot;_-;\-* #,##0\ &quot;€&quot;_-;_-* &quot;-&quot;??\ &quot;€&quot;_-;_-@_-"/>
    </dxf>
    <dxf>
      <fill>
        <patternFill patternType="solid">
          <fgColor indexed="64"/>
          <bgColor rgb="FF00B050"/>
        </patternFill>
      </fill>
    </dxf>
    <dxf>
      <fill>
        <patternFill patternType="solid">
          <fgColor indexed="64"/>
          <bgColor rgb="FF00B05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50"/>
        </patternFill>
      </fill>
    </dxf>
  </dxfs>
  <tableStyles count="0" defaultTableStyle="TableStyleMedium2" defaultPivotStyle="PivotStyleLight16"/>
  <colors>
    <mruColors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microsoft.com/office/2006/relationships/vbaProject" Target="vbaProject.bin"/><Relationship Id="rId5" Type="http://schemas.microsoft.com/office/2007/relationships/slicerCache" Target="slicerCaches/slicerCach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Hist&#243;rico!K1"/><Relationship Id="rId1" Type="http://schemas.openxmlformats.org/officeDocument/2006/relationships/image" Target="../media/image1.png"/><Relationship Id="rId4" Type="http://schemas.openxmlformats.org/officeDocument/2006/relationships/image" Target="../media/image3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912013</xdr:colOff>
      <xdr:row>1</xdr:row>
      <xdr:rowOff>74295</xdr:rowOff>
    </xdr:from>
    <xdr:to>
      <xdr:col>6</xdr:col>
      <xdr:colOff>973456</xdr:colOff>
      <xdr:row>4</xdr:row>
      <xdr:rowOff>91440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D359976-313D-4B30-9BC1-62093F138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16273" y="257175"/>
          <a:ext cx="2993238" cy="701040"/>
        </a:xfrm>
        <a:prstGeom prst="rect">
          <a:avLst/>
        </a:prstGeom>
      </xdr:spPr>
    </xdr:pic>
    <xdr:clientData/>
  </xdr:twoCellAnchor>
  <xdr:twoCellAnchor>
    <xdr:from>
      <xdr:col>1</xdr:col>
      <xdr:colOff>7620</xdr:colOff>
      <xdr:row>36</xdr:row>
      <xdr:rowOff>60960</xdr:rowOff>
    </xdr:from>
    <xdr:to>
      <xdr:col>4</xdr:col>
      <xdr:colOff>198120</xdr:colOff>
      <xdr:row>41</xdr:row>
      <xdr:rowOff>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DC3D3DF-1175-4B88-9D85-DF95DF190390}"/>
            </a:ext>
          </a:extLst>
        </xdr:cNvPr>
        <xdr:cNvSpPr/>
      </xdr:nvSpPr>
      <xdr:spPr>
        <a:xfrm>
          <a:off x="281940" y="6492240"/>
          <a:ext cx="4038600" cy="723900"/>
        </a:xfrm>
        <a:prstGeom prst="roundRect">
          <a:avLst/>
        </a:prstGeom>
        <a:ln w="9525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60960</xdr:colOff>
      <xdr:row>3</xdr:row>
      <xdr:rowOff>182880</xdr:rowOff>
    </xdr:from>
    <xdr:to>
      <xdr:col>10</xdr:col>
      <xdr:colOff>22860</xdr:colOff>
      <xdr:row>5</xdr:row>
      <xdr:rowOff>175260</xdr:rowOff>
    </xdr:to>
    <xdr:sp macro="[0]!Imprimir_PDF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5C04C84E-745A-4C4D-A3E6-77C0612115B6}"/>
            </a:ext>
          </a:extLst>
        </xdr:cNvPr>
        <xdr:cNvSpPr/>
      </xdr:nvSpPr>
      <xdr:spPr>
        <a:xfrm>
          <a:off x="8511540" y="853440"/>
          <a:ext cx="1546860" cy="403860"/>
        </a:xfrm>
        <a:prstGeom prst="roundRect">
          <a:avLst/>
        </a:prstGeom>
        <a:gradFill flip="none" rotWithShape="1">
          <a:gsLst>
            <a:gs pos="0">
              <a:srgbClr val="00B050">
                <a:tint val="66000"/>
                <a:satMod val="160000"/>
              </a:srgbClr>
            </a:gs>
            <a:gs pos="50000">
              <a:srgbClr val="00B050">
                <a:tint val="44500"/>
                <a:satMod val="160000"/>
              </a:srgbClr>
            </a:gs>
            <a:gs pos="100000">
              <a:srgbClr val="00B050">
                <a:tint val="23500"/>
                <a:satMod val="160000"/>
              </a:srgbClr>
            </a:gs>
          </a:gsLst>
          <a:lin ang="5400000" scaled="1"/>
          <a:tileRect/>
        </a:gra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600">
              <a:latin typeface="Barlow Condensed" panose="00000506000000000000" pitchFamily="2" charset="0"/>
            </a:rPr>
            <a:t>Imprimir en PDF</a:t>
          </a:r>
        </a:p>
      </xdr:txBody>
    </xdr:sp>
    <xdr:clientData/>
  </xdr:twoCellAnchor>
  <xdr:twoCellAnchor>
    <xdr:from>
      <xdr:col>8</xdr:col>
      <xdr:colOff>68580</xdr:colOff>
      <xdr:row>6</xdr:row>
      <xdr:rowOff>175260</xdr:rowOff>
    </xdr:from>
    <xdr:to>
      <xdr:col>10</xdr:col>
      <xdr:colOff>30480</xdr:colOff>
      <xdr:row>8</xdr:row>
      <xdr:rowOff>213360</xdr:rowOff>
    </xdr:to>
    <xdr:sp macro="" textlink="">
      <xdr:nvSpPr>
        <xdr:cNvPr id="5" name="Rectángulo: esquinas redondeada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B8200C8-D0DB-4805-9CB9-D53EF19CDED3}"/>
            </a:ext>
          </a:extLst>
        </xdr:cNvPr>
        <xdr:cNvSpPr/>
      </xdr:nvSpPr>
      <xdr:spPr>
        <a:xfrm>
          <a:off x="8519160" y="1440180"/>
          <a:ext cx="1546860" cy="41148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600">
              <a:latin typeface="Barlow Condensed" panose="00000506000000000000" pitchFamily="2" charset="0"/>
            </a:rPr>
            <a:t>Añadir</a:t>
          </a:r>
          <a:r>
            <a:rPr lang="es-ES" sz="1600" baseline="0">
              <a:latin typeface="Barlow Condensed" panose="00000506000000000000" pitchFamily="2" charset="0"/>
            </a:rPr>
            <a:t> a Histórico</a:t>
          </a:r>
          <a:endParaRPr lang="es-ES" sz="1600">
            <a:latin typeface="Barlow Condensed" panose="00000506000000000000" pitchFamily="2" charset="0"/>
          </a:endParaRPr>
        </a:p>
      </xdr:txBody>
    </xdr:sp>
    <xdr:clientData/>
  </xdr:twoCellAnchor>
  <xdr:twoCellAnchor>
    <xdr:from>
      <xdr:col>8</xdr:col>
      <xdr:colOff>45720</xdr:colOff>
      <xdr:row>1</xdr:row>
      <xdr:rowOff>60960</xdr:rowOff>
    </xdr:from>
    <xdr:to>
      <xdr:col>10</xdr:col>
      <xdr:colOff>7620</xdr:colOff>
      <xdr:row>3</xdr:row>
      <xdr:rowOff>7620</xdr:rowOff>
    </xdr:to>
    <xdr:sp macro="[0]!LimparFAC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D0B17CCD-96ED-4FA4-9695-909FAAB8FCC1}"/>
            </a:ext>
          </a:extLst>
        </xdr:cNvPr>
        <xdr:cNvSpPr/>
      </xdr:nvSpPr>
      <xdr:spPr>
        <a:xfrm>
          <a:off x="8496300" y="243840"/>
          <a:ext cx="1546860" cy="434340"/>
        </a:xfrm>
        <a:prstGeom prst="round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600">
              <a:latin typeface="Barlow Condensed" panose="00000506000000000000" pitchFamily="2" charset="0"/>
            </a:rPr>
            <a:t>Factura</a:t>
          </a:r>
          <a:r>
            <a:rPr lang="es-ES" sz="1600" baseline="0">
              <a:latin typeface="Barlow Condensed" panose="00000506000000000000" pitchFamily="2" charset="0"/>
            </a:rPr>
            <a:t> Nueva</a:t>
          </a:r>
          <a:endParaRPr lang="es-ES" sz="1600">
            <a:latin typeface="Barlow Condensed" panose="00000506000000000000" pitchFamily="2" charset="0"/>
          </a:endParaRPr>
        </a:p>
      </xdr:txBody>
    </xdr:sp>
    <xdr:clientData/>
  </xdr:twoCellAnchor>
  <xdr:twoCellAnchor>
    <xdr:from>
      <xdr:col>10</xdr:col>
      <xdr:colOff>601980</xdr:colOff>
      <xdr:row>1</xdr:row>
      <xdr:rowOff>60960</xdr:rowOff>
    </xdr:from>
    <xdr:to>
      <xdr:col>12</xdr:col>
      <xdr:colOff>739140</xdr:colOff>
      <xdr:row>2</xdr:row>
      <xdr:rowOff>198120</xdr:rowOff>
    </xdr:to>
    <xdr:sp macro="[0]!Macro11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A7A0B9A5-C910-4B25-A12C-2FC18DD2C0A0}"/>
            </a:ext>
          </a:extLst>
        </xdr:cNvPr>
        <xdr:cNvSpPr/>
      </xdr:nvSpPr>
      <xdr:spPr>
        <a:xfrm>
          <a:off x="10637520" y="243840"/>
          <a:ext cx="1722120" cy="41910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600">
              <a:latin typeface="Barlow Condensed" panose="00000506000000000000" pitchFamily="2" charset="0"/>
            </a:rPr>
            <a:t>Introducir</a:t>
          </a:r>
          <a:r>
            <a:rPr lang="es-ES" sz="1600" baseline="0">
              <a:latin typeface="Barlow Condensed" panose="00000506000000000000" pitchFamily="2" charset="0"/>
            </a:rPr>
            <a:t> Nº Factura</a:t>
          </a:r>
          <a:endParaRPr lang="es-ES" sz="1600">
            <a:latin typeface="Barlow Condensed" panose="00000506000000000000" pitchFamily="2" charset="0"/>
          </a:endParaRPr>
        </a:p>
      </xdr:txBody>
    </xdr:sp>
    <xdr:clientData/>
  </xdr:twoCellAnchor>
  <xdr:twoCellAnchor editAs="oneCell">
    <xdr:from>
      <xdr:col>10</xdr:col>
      <xdr:colOff>91440</xdr:colOff>
      <xdr:row>1</xdr:row>
      <xdr:rowOff>76200</xdr:rowOff>
    </xdr:from>
    <xdr:to>
      <xdr:col>10</xdr:col>
      <xdr:colOff>510540</xdr:colOff>
      <xdr:row>3</xdr:row>
      <xdr:rowOff>19050</xdr:rowOff>
    </xdr:to>
    <xdr:pic>
      <xdr:nvPicPr>
        <xdr:cNvPr id="10" name="Gráfico 9" descr="Círculo con flecha a la izquierda">
          <a:extLst>
            <a:ext uri="{FF2B5EF4-FFF2-40B4-BE49-F238E27FC236}">
              <a16:creationId xmlns:a16="http://schemas.microsoft.com/office/drawing/2014/main" id="{8201FABD-1A50-4045-8909-C5EF9367BA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4"/>
            </a:ext>
          </a:extLst>
        </a:blip>
        <a:stretch>
          <a:fillRect/>
        </a:stretch>
      </xdr:blipFill>
      <xdr:spPr>
        <a:xfrm>
          <a:off x="10126980" y="259080"/>
          <a:ext cx="419100" cy="419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321945</xdr:colOff>
      <xdr:row>1</xdr:row>
      <xdr:rowOff>95250</xdr:rowOff>
    </xdr:from>
    <xdr:to>
      <xdr:col>12</xdr:col>
      <xdr:colOff>320040</xdr:colOff>
      <xdr:row>4</xdr:row>
      <xdr:rowOff>38100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FEF49CD-D139-462A-AD41-470C8D2FB231}"/>
            </a:ext>
          </a:extLst>
        </xdr:cNvPr>
        <xdr:cNvGrpSpPr/>
      </xdr:nvGrpSpPr>
      <xdr:grpSpPr>
        <a:xfrm>
          <a:off x="7570470" y="285750"/>
          <a:ext cx="3046095" cy="514350"/>
          <a:chOff x="7757160" y="190500"/>
          <a:chExt cx="3147060" cy="495300"/>
        </a:xfrm>
      </xdr:grpSpPr>
      <xdr:sp macro="[0]!GuardarRegistro" textlink="">
        <xdr:nvSpPr>
          <xdr:cNvPr id="2" name="Rectángulo: esquinas redondeadas 1">
            <a:extLst>
              <a:ext uri="{FF2B5EF4-FFF2-40B4-BE49-F238E27FC236}">
                <a16:creationId xmlns:a16="http://schemas.microsoft.com/office/drawing/2014/main" id="{04C6B8C6-E5C0-4428-B709-679C6EB1913C}"/>
              </a:ext>
            </a:extLst>
          </xdr:cNvPr>
          <xdr:cNvSpPr>
            <a:spLocks noChangeAspect="1"/>
          </xdr:cNvSpPr>
        </xdr:nvSpPr>
        <xdr:spPr>
          <a:xfrm>
            <a:off x="7757160" y="190500"/>
            <a:ext cx="3147060" cy="495300"/>
          </a:xfrm>
          <a:prstGeom prst="roundRect">
            <a:avLst/>
          </a:prstGeom>
          <a:gradFill flip="none" rotWithShape="1">
            <a:gsLst>
              <a:gs pos="0">
                <a:srgbClr val="00B050">
                  <a:tint val="66000"/>
                  <a:satMod val="160000"/>
                </a:srgbClr>
              </a:gs>
              <a:gs pos="50000">
                <a:srgbClr val="00B050">
                  <a:tint val="44500"/>
                  <a:satMod val="160000"/>
                </a:srgbClr>
              </a:gs>
              <a:gs pos="100000">
                <a:srgbClr val="00B050">
                  <a:tint val="23500"/>
                  <a:satMod val="160000"/>
                </a:srgbClr>
              </a:gs>
            </a:gsLst>
            <a:lin ang="5400000" scaled="1"/>
            <a:tileRect/>
          </a:gradFill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s-ES" sz="1600">
                <a:solidFill>
                  <a:schemeClr val="dk1"/>
                </a:solidFill>
                <a:latin typeface="Barlow Condensed" panose="00000506000000000000" pitchFamily="2" charset="0"/>
                <a:ea typeface="+mn-ea"/>
                <a:cs typeface="+mn-cs"/>
              </a:rPr>
              <a:t>Pulsa para guardar el registro</a:t>
            </a:r>
          </a:p>
        </xdr:txBody>
      </xdr:sp>
      <xdr:pic>
        <xdr:nvPicPr>
          <xdr:cNvPr id="6" name="Gráfico 5" descr="Círculo con flecha a la izquierda">
            <a:extLst>
              <a:ext uri="{FF2B5EF4-FFF2-40B4-BE49-F238E27FC236}">
                <a16:creationId xmlns:a16="http://schemas.microsoft.com/office/drawing/2014/main" id="{70216EE3-2D0E-4060-A5CC-AB9AE064B8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10467480" y="264300"/>
            <a:ext cx="398640" cy="398640"/>
          </a:xfrm>
          <a:prstGeom prst="rect">
            <a:avLst/>
          </a:prstGeom>
        </xdr:spPr>
      </xdr:pic>
      <xdr:pic>
        <xdr:nvPicPr>
          <xdr:cNvPr id="7" name="Gráfico 6" descr="Círculo con flecha a la izquierda">
            <a:extLst>
              <a:ext uri="{FF2B5EF4-FFF2-40B4-BE49-F238E27FC236}">
                <a16:creationId xmlns:a16="http://schemas.microsoft.com/office/drawing/2014/main" id="{F28E4D12-49BA-4FB7-93BC-F4675C8B04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 rot="10800000">
            <a:off x="7846200" y="264300"/>
            <a:ext cx="398640" cy="39864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152400</xdr:colOff>
      <xdr:row>0</xdr:row>
      <xdr:rowOff>57151</xdr:rowOff>
    </xdr:from>
    <xdr:to>
      <xdr:col>9</xdr:col>
      <xdr:colOff>701040</xdr:colOff>
      <xdr:row>6</xdr:row>
      <xdr:rowOff>62865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Cliente">
              <a:extLst>
                <a:ext uri="{FF2B5EF4-FFF2-40B4-BE49-F238E27FC236}">
                  <a16:creationId xmlns:a16="http://schemas.microsoft.com/office/drawing/2014/main" id="{C9A88D55-EFFD-44E9-B552-CC937764BE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19850" y="53341"/>
              <a:ext cx="3714750" cy="109156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255270</xdr:colOff>
      <xdr:row>0</xdr:row>
      <xdr:rowOff>123826</xdr:rowOff>
    </xdr:from>
    <xdr:to>
      <xdr:col>6</xdr:col>
      <xdr:colOff>502920</xdr:colOff>
      <xdr:row>6</xdr:row>
      <xdr:rowOff>30481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Tipo">
              <a:extLst>
                <a:ext uri="{FF2B5EF4-FFF2-40B4-BE49-F238E27FC236}">
                  <a16:creationId xmlns:a16="http://schemas.microsoft.com/office/drawing/2014/main" id="{7B0B1693-D0CA-4DD0-80C9-F87C2A961F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25315" y="125731"/>
              <a:ext cx="1832610" cy="98869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liente" sourceName="Cliente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" sourceName="Tipo">
  <extLst>
    <x:ext xmlns:x15="http://schemas.microsoft.com/office/spreadsheetml/2010/11/main" uri="{2F2917AC-EB37-4324-AD4E-5DD8C200BD13}">
      <x15:tableSlicerCache tableId="2" column="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Cliente" cache="SegmentaciónDeDatos_Cliente" caption="Cliente" columnCount="5" style="SlicerStyleOther1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Tipo" cache="SegmentaciónDeDatos_Tipo" caption="Tipo" style="SlicerStyleOther1" rowHeight="234950"/>
</slicers>
</file>

<file path=xl/tables/table1.xml><?xml version="1.0" encoding="utf-8"?>
<table xmlns="http://schemas.openxmlformats.org/spreadsheetml/2006/main" id="3" name="Tabla3" displayName="Tabla3" ref="A1:H2" insertRow="1" totalsRowShown="0" headerRowDxfId="13" dataDxfId="1">
  <autoFilter ref="A1:H2"/>
  <tableColumns count="8">
    <tableColumn id="1" name="Nº Factura" dataDxfId="9"/>
    <tableColumn id="2" name="Fecha Factura" dataDxfId="8"/>
    <tableColumn id="3" name="Cliente" dataDxfId="7"/>
    <tableColumn id="4" name="Cif" dataDxfId="6"/>
    <tableColumn id="5" name="Base Imponible" dataDxfId="5"/>
    <tableColumn id="6" name="Impuestos" dataDxfId="4"/>
    <tableColumn id="7" name="Total Factura" dataDxfId="3"/>
    <tableColumn id="8" name="Fecha Vencimiento" dataDxfId="2"/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A1:E11" totalsRowShown="0" headerRowDxfId="12">
  <autoFilter ref="A1:E11"/>
  <tableColumns count="5">
    <tableColumn id="1" name="Cliente"/>
    <tableColumn id="2" name="Cif"/>
    <tableColumn id="3" name="Dirección Completa"/>
    <tableColumn id="4" name="Telefono"/>
    <tableColumn id="5" name="Email" dataCellStyle="Hipervínculo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2" name="Tabla2" displayName="Tabla2" ref="A1:C9" totalsRowShown="0" headerRowDxfId="11">
  <autoFilter ref="A1:C9"/>
  <tableColumns count="3">
    <tableColumn id="1" name="Tipo"/>
    <tableColumn id="2" name="Descripción"/>
    <tableColumn id="3" name="Precio" dataDxfId="10" dataCellStyle="Moneda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Correo@prueba1.com" TargetMode="External"/><Relationship Id="rId13" Type="http://schemas.openxmlformats.org/officeDocument/2006/relationships/drawing" Target="../drawings/drawing3.xml"/><Relationship Id="rId3" Type="http://schemas.openxmlformats.org/officeDocument/2006/relationships/hyperlink" Target="mailto:Correo@prueba2.com" TargetMode="External"/><Relationship Id="rId7" Type="http://schemas.openxmlformats.org/officeDocument/2006/relationships/hyperlink" Target="mailto:Correo@prueba6.com" TargetMode="External"/><Relationship Id="rId12" Type="http://schemas.openxmlformats.org/officeDocument/2006/relationships/hyperlink" Target="mailto:Correo@prueba10.com" TargetMode="External"/><Relationship Id="rId2" Type="http://schemas.openxmlformats.org/officeDocument/2006/relationships/hyperlink" Target="mailto:Correo@prueba1.com" TargetMode="External"/><Relationship Id="rId1" Type="http://schemas.openxmlformats.org/officeDocument/2006/relationships/hyperlink" Target="mailto:Correo@prueba1.com" TargetMode="External"/><Relationship Id="rId6" Type="http://schemas.openxmlformats.org/officeDocument/2006/relationships/hyperlink" Target="mailto:Correo@prueba5.com" TargetMode="External"/><Relationship Id="rId11" Type="http://schemas.openxmlformats.org/officeDocument/2006/relationships/hyperlink" Target="mailto:Correo@prueba9.com" TargetMode="External"/><Relationship Id="rId5" Type="http://schemas.openxmlformats.org/officeDocument/2006/relationships/hyperlink" Target="mailto:Correo@prueba4.com" TargetMode="External"/><Relationship Id="rId15" Type="http://schemas.microsoft.com/office/2007/relationships/slicer" Target="../slicers/slicer1.xml"/><Relationship Id="rId10" Type="http://schemas.openxmlformats.org/officeDocument/2006/relationships/hyperlink" Target="mailto:Correo@prueba8.com" TargetMode="External"/><Relationship Id="rId4" Type="http://schemas.openxmlformats.org/officeDocument/2006/relationships/hyperlink" Target="mailto:Correo@prueba3.com" TargetMode="External"/><Relationship Id="rId9" Type="http://schemas.openxmlformats.org/officeDocument/2006/relationships/hyperlink" Target="mailto:Correo@prueba7.com" TargetMode="External"/><Relationship Id="rId1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00B050"/>
    <pageSetUpPr fitToPage="1"/>
  </sheetPr>
  <dimension ref="A1:L46"/>
  <sheetViews>
    <sheetView showGridLines="0" zoomScale="90" zoomScaleNormal="90" workbookViewId="0">
      <selection activeCell="A20" sqref="A20:D20"/>
    </sheetView>
  </sheetViews>
  <sheetFormatPr baseColWidth="10" defaultRowHeight="15"/>
  <cols>
    <col min="1" max="1" width="4.140625" customWidth="1"/>
    <col min="2" max="2" width="18" customWidth="1"/>
    <col min="3" max="3" width="30.42578125" customWidth="1"/>
    <col min="4" max="4" width="16.7109375" customWidth="1"/>
    <col min="5" max="5" width="13.85546875" customWidth="1"/>
    <col min="6" max="6" width="12.140625" customWidth="1"/>
    <col min="7" max="7" width="16.42578125" bestFit="1" customWidth="1"/>
  </cols>
  <sheetData>
    <row r="1" spans="1:12">
      <c r="L1" s="42">
        <v>2020003</v>
      </c>
    </row>
    <row r="2" spans="1:12" ht="23.25">
      <c r="B2" s="8" t="s">
        <v>11</v>
      </c>
      <c r="C2" s="3" t="s">
        <v>7</v>
      </c>
    </row>
    <row r="3" spans="1:12" ht="15.75">
      <c r="B3" s="8" t="s">
        <v>12</v>
      </c>
      <c r="C3" s="27" t="s">
        <v>8</v>
      </c>
    </row>
    <row r="4" spans="1:12" ht="15.75">
      <c r="B4" s="8" t="s">
        <v>13</v>
      </c>
      <c r="C4" s="27" t="s">
        <v>9</v>
      </c>
    </row>
    <row r="5" spans="1:12" ht="15.75">
      <c r="B5" s="8" t="s">
        <v>14</v>
      </c>
      <c r="C5" s="27" t="s">
        <v>10</v>
      </c>
    </row>
    <row r="6" spans="1:12">
      <c r="C6" s="4"/>
    </row>
    <row r="7" spans="1:12">
      <c r="C7" s="5"/>
    </row>
    <row r="8" spans="1:12" ht="15.75" thickBot="1">
      <c r="C8" s="5"/>
    </row>
    <row r="9" spans="1:12" ht="21" thickBot="1">
      <c r="B9" s="7" t="s">
        <v>4</v>
      </c>
      <c r="C9" s="34">
        <v>2020001</v>
      </c>
      <c r="D9" s="6"/>
      <c r="E9" s="47" t="s">
        <v>15</v>
      </c>
      <c r="F9" s="48"/>
      <c r="G9" s="29">
        <f ca="1">TODAY()</f>
        <v>45231</v>
      </c>
    </row>
    <row r="10" spans="1:12" ht="15.75" thickBot="1">
      <c r="C10" s="5"/>
    </row>
    <row r="11" spans="1:12" ht="21" thickBot="1">
      <c r="B11" s="8" t="s">
        <v>16</v>
      </c>
      <c r="C11" s="27"/>
      <c r="E11" s="47" t="s">
        <v>18</v>
      </c>
      <c r="F11" s="49"/>
      <c r="G11" s="29"/>
    </row>
    <row r="12" spans="1:12" ht="15.75">
      <c r="B12" s="8" t="s">
        <v>17</v>
      </c>
      <c r="C12" s="27" t="str">
        <f>IF(C11="","",VLOOKUP(C11,Clientes!A:C,2,0))</f>
        <v/>
      </c>
    </row>
    <row r="13" spans="1:12" ht="15.75">
      <c r="B13" s="8" t="s">
        <v>13</v>
      </c>
      <c r="C13" s="27" t="str">
        <f>IF(C11="","",VLOOKUP(C11,Clientes!A:C,3,0))</f>
        <v/>
      </c>
    </row>
    <row r="14" spans="1:12">
      <c r="C14" s="5"/>
    </row>
    <row r="15" spans="1:12" ht="15.75" thickBot="1"/>
    <row r="16" spans="1:12" ht="18.75" thickBot="1">
      <c r="A16" s="45" t="s">
        <v>2</v>
      </c>
      <c r="B16" s="46"/>
      <c r="C16" s="46"/>
      <c r="D16" s="46"/>
      <c r="E16" s="25" t="s">
        <v>19</v>
      </c>
      <c r="F16" s="25" t="s">
        <v>0</v>
      </c>
      <c r="G16" s="26" t="s">
        <v>1</v>
      </c>
    </row>
    <row r="17" spans="1:10" ht="16.899999999999999" customHeight="1">
      <c r="A17" s="43"/>
      <c r="B17" s="43"/>
      <c r="C17" s="43"/>
      <c r="D17" s="43"/>
      <c r="E17" s="39"/>
      <c r="F17" s="40" t="str">
        <f>IFERROR(VLOOKUP(A17,Servicios!B:C,2,0),"")</f>
        <v/>
      </c>
      <c r="G17" s="40" t="str">
        <f>IFERROR(E17*F17,"")</f>
        <v/>
      </c>
    </row>
    <row r="18" spans="1:10" ht="16.899999999999999" customHeight="1">
      <c r="A18" s="43"/>
      <c r="B18" s="43"/>
      <c r="C18" s="43"/>
      <c r="D18" s="43"/>
      <c r="E18" s="41"/>
      <c r="F18" s="40" t="str">
        <f>IFERROR(VLOOKUP(A18,Servicios!B:C,2,0),"")</f>
        <v/>
      </c>
      <c r="G18" s="40" t="str">
        <f t="shared" ref="G18:G34" si="0">IFERROR(E18*F18,"")</f>
        <v/>
      </c>
    </row>
    <row r="19" spans="1:10" ht="16.899999999999999" customHeight="1">
      <c r="A19" s="43"/>
      <c r="B19" s="43"/>
      <c r="C19" s="43"/>
      <c r="D19" s="43"/>
      <c r="E19" s="41"/>
      <c r="F19" s="40" t="str">
        <f>IFERROR(VLOOKUP(A19,Servicios!B:C,2,0),"")</f>
        <v/>
      </c>
      <c r="G19" s="40" t="str">
        <f t="shared" si="0"/>
        <v/>
      </c>
    </row>
    <row r="20" spans="1:10" ht="16.899999999999999" customHeight="1">
      <c r="A20" s="43"/>
      <c r="B20" s="43"/>
      <c r="C20" s="43"/>
      <c r="D20" s="43"/>
      <c r="E20" s="41"/>
      <c r="F20" s="40" t="str">
        <f>IFERROR(VLOOKUP(A20,Servicios!B:C,2,0),"")</f>
        <v/>
      </c>
      <c r="G20" s="40" t="str">
        <f t="shared" si="0"/>
        <v/>
      </c>
    </row>
    <row r="21" spans="1:10" ht="16.899999999999999" customHeight="1">
      <c r="A21" s="43"/>
      <c r="B21" s="43"/>
      <c r="C21" s="43"/>
      <c r="D21" s="43"/>
      <c r="E21" s="41"/>
      <c r="F21" s="40" t="str">
        <f>IFERROR(VLOOKUP(A21,Servicios!B:C,2,0),"")</f>
        <v/>
      </c>
      <c r="G21" s="40" t="str">
        <f t="shared" si="0"/>
        <v/>
      </c>
    </row>
    <row r="22" spans="1:10" ht="16.899999999999999" customHeight="1">
      <c r="A22" s="43"/>
      <c r="B22" s="43"/>
      <c r="C22" s="43"/>
      <c r="D22" s="43"/>
      <c r="E22" s="41"/>
      <c r="F22" s="40" t="str">
        <f>IFERROR(VLOOKUP(A22,Servicios!B:C,2,0),"")</f>
        <v/>
      </c>
      <c r="G22" s="40" t="str">
        <f t="shared" si="0"/>
        <v/>
      </c>
    </row>
    <row r="23" spans="1:10" ht="16.899999999999999" customHeight="1">
      <c r="A23" s="43"/>
      <c r="B23" s="43"/>
      <c r="C23" s="43"/>
      <c r="D23" s="43"/>
      <c r="E23" s="41"/>
      <c r="F23" s="40" t="str">
        <f>IFERROR(VLOOKUP(A23,Servicios!B:C,2,0),"")</f>
        <v/>
      </c>
      <c r="G23" s="40" t="str">
        <f t="shared" si="0"/>
        <v/>
      </c>
    </row>
    <row r="24" spans="1:10" ht="16.899999999999999" customHeight="1">
      <c r="A24" s="43"/>
      <c r="B24" s="43"/>
      <c r="C24" s="43"/>
      <c r="D24" s="43"/>
      <c r="E24" s="41"/>
      <c r="F24" s="40" t="str">
        <f>IFERROR(VLOOKUP(A24,Servicios!B:C,2,0),"")</f>
        <v/>
      </c>
      <c r="G24" s="40" t="str">
        <f t="shared" si="0"/>
        <v/>
      </c>
    </row>
    <row r="25" spans="1:10" ht="16.899999999999999" customHeight="1">
      <c r="A25" s="43"/>
      <c r="B25" s="43"/>
      <c r="C25" s="43"/>
      <c r="D25" s="43"/>
      <c r="E25" s="41"/>
      <c r="F25" s="40" t="str">
        <f>IFERROR(VLOOKUP(A25,Servicios!B:C,2,0),"")</f>
        <v/>
      </c>
      <c r="G25" s="40" t="str">
        <f t="shared" si="0"/>
        <v/>
      </c>
    </row>
    <row r="26" spans="1:10" ht="16.899999999999999" customHeight="1">
      <c r="A26" s="43"/>
      <c r="B26" s="43"/>
      <c r="C26" s="43"/>
      <c r="D26" s="43"/>
      <c r="E26" s="41"/>
      <c r="F26" s="40" t="str">
        <f>IFERROR(VLOOKUP(A26,Servicios!B:C,2,0),"")</f>
        <v/>
      </c>
      <c r="G26" s="40" t="str">
        <f t="shared" si="0"/>
        <v/>
      </c>
    </row>
    <row r="27" spans="1:10" ht="16.899999999999999" customHeight="1">
      <c r="A27" s="43"/>
      <c r="B27" s="43"/>
      <c r="C27" s="43"/>
      <c r="D27" s="43"/>
      <c r="E27" s="41"/>
      <c r="F27" s="40" t="str">
        <f>IFERROR(VLOOKUP(A27,Servicios!B:C,2,0),"")</f>
        <v/>
      </c>
      <c r="G27" s="40" t="str">
        <f t="shared" si="0"/>
        <v/>
      </c>
    </row>
    <row r="28" spans="1:10" ht="16.899999999999999" customHeight="1">
      <c r="A28" s="43"/>
      <c r="B28" s="43"/>
      <c r="C28" s="43"/>
      <c r="D28" s="43"/>
      <c r="E28" s="41"/>
      <c r="F28" s="40" t="str">
        <f>IFERROR(VLOOKUP(A28,Servicios!B:C,2,0),"")</f>
        <v/>
      </c>
      <c r="G28" s="40" t="str">
        <f t="shared" si="0"/>
        <v/>
      </c>
      <c r="J28" s="2"/>
    </row>
    <row r="29" spans="1:10" ht="16.899999999999999" customHeight="1">
      <c r="A29" s="43"/>
      <c r="B29" s="43"/>
      <c r="C29" s="43"/>
      <c r="D29" s="43"/>
      <c r="E29" s="41"/>
      <c r="F29" s="40" t="str">
        <f>IFERROR(VLOOKUP(A29,Servicios!B:C,2,0),"")</f>
        <v/>
      </c>
      <c r="G29" s="40" t="str">
        <f t="shared" si="0"/>
        <v/>
      </c>
    </row>
    <row r="30" spans="1:10" ht="16.899999999999999" customHeight="1">
      <c r="A30" s="43"/>
      <c r="B30" s="43"/>
      <c r="C30" s="43"/>
      <c r="D30" s="43"/>
      <c r="E30" s="41"/>
      <c r="F30" s="40" t="str">
        <f>IFERROR(VLOOKUP(A30,Servicios!B:C,2,0),"")</f>
        <v/>
      </c>
      <c r="G30" s="40" t="str">
        <f t="shared" si="0"/>
        <v/>
      </c>
    </row>
    <row r="31" spans="1:10" ht="16.899999999999999" customHeight="1">
      <c r="A31" s="43"/>
      <c r="B31" s="43"/>
      <c r="C31" s="43"/>
      <c r="D31" s="43"/>
      <c r="E31" s="41"/>
      <c r="F31" s="40" t="str">
        <f>IFERROR(VLOOKUP(A31,Servicios!B:C,2,0),"")</f>
        <v/>
      </c>
      <c r="G31" s="40" t="str">
        <f t="shared" si="0"/>
        <v/>
      </c>
    </row>
    <row r="32" spans="1:10" ht="16.899999999999999" customHeight="1">
      <c r="A32" s="43"/>
      <c r="B32" s="43"/>
      <c r="C32" s="43"/>
      <c r="D32" s="43"/>
      <c r="E32" s="41"/>
      <c r="F32" s="40" t="str">
        <f>IFERROR(VLOOKUP(A32,Servicios!B:C,2,0),"")</f>
        <v/>
      </c>
      <c r="G32" s="40" t="str">
        <f t="shared" si="0"/>
        <v/>
      </c>
    </row>
    <row r="33" spans="1:7" ht="16.899999999999999" customHeight="1">
      <c r="A33" s="43"/>
      <c r="B33" s="43"/>
      <c r="C33" s="43"/>
      <c r="D33" s="43"/>
      <c r="E33" s="41"/>
      <c r="F33" s="40" t="str">
        <f>IFERROR(VLOOKUP(A33,Servicios!B:C,2,0),"")</f>
        <v/>
      </c>
      <c r="G33" s="40" t="str">
        <f t="shared" si="0"/>
        <v/>
      </c>
    </row>
    <row r="34" spans="1:7" ht="16.899999999999999" customHeight="1" thickBot="1">
      <c r="A34" s="44"/>
      <c r="B34" s="44"/>
      <c r="C34" s="44"/>
      <c r="D34" s="44"/>
      <c r="E34" s="9"/>
      <c r="F34" s="38" t="str">
        <f>IFERROR(VLOOKUP(A34,Servicios!B:C,2,0),"")</f>
        <v/>
      </c>
      <c r="G34" s="38" t="str">
        <f t="shared" si="0"/>
        <v/>
      </c>
    </row>
    <row r="35" spans="1:7" ht="16.5" thickTop="1">
      <c r="A35" s="12"/>
      <c r="B35" s="12"/>
      <c r="C35" s="12"/>
      <c r="D35" s="13"/>
      <c r="E35" s="13"/>
      <c r="F35" s="13"/>
      <c r="G35" s="13"/>
    </row>
    <row r="36" spans="1:7" ht="18">
      <c r="B36" s="52" t="s">
        <v>25</v>
      </c>
      <c r="C36" s="52"/>
      <c r="D36" s="52"/>
      <c r="E36" s="15"/>
      <c r="F36" s="16" t="s">
        <v>20</v>
      </c>
      <c r="G36" s="17">
        <f>SUM(G17:G34)</f>
        <v>0</v>
      </c>
    </row>
    <row r="37" spans="1:7" ht="9" customHeight="1">
      <c r="B37" s="28"/>
      <c r="C37" s="28"/>
      <c r="D37" s="28"/>
      <c r="E37" s="15"/>
      <c r="F37" s="16"/>
      <c r="G37" s="17"/>
    </row>
    <row r="38" spans="1:7" ht="18">
      <c r="B38" s="28"/>
      <c r="C38" s="28"/>
      <c r="D38" s="28"/>
      <c r="E38" s="16" t="s">
        <v>21</v>
      </c>
      <c r="F38" s="18">
        <v>0.21</v>
      </c>
      <c r="G38" s="17">
        <f>G36*F38</f>
        <v>0</v>
      </c>
    </row>
    <row r="39" spans="1:7" ht="8.25" customHeight="1">
      <c r="B39" s="28"/>
      <c r="C39" s="28"/>
      <c r="D39" s="28"/>
      <c r="E39" s="5"/>
      <c r="F39" s="10"/>
      <c r="G39" s="11"/>
    </row>
    <row r="40" spans="1:7" ht="18" customHeight="1">
      <c r="B40" s="28"/>
      <c r="C40" s="28"/>
      <c r="D40" s="28"/>
      <c r="E40" s="16" t="s">
        <v>22</v>
      </c>
      <c r="F40" s="18">
        <v>0.15</v>
      </c>
      <c r="G40" s="17">
        <f>G36*F40</f>
        <v>0</v>
      </c>
    </row>
    <row r="41" spans="1:7" ht="8.25" customHeight="1" thickBot="1">
      <c r="B41" s="5"/>
      <c r="C41" s="5"/>
      <c r="D41" s="5"/>
      <c r="E41" s="5"/>
      <c r="F41" s="10"/>
      <c r="G41" s="11"/>
    </row>
    <row r="42" spans="1:7" ht="24" thickBot="1">
      <c r="B42" s="5"/>
      <c r="C42" s="5"/>
      <c r="D42" s="5"/>
      <c r="E42" s="5"/>
      <c r="F42" s="24" t="s">
        <v>1</v>
      </c>
      <c r="G42" s="14">
        <f>G36+G38-G40</f>
        <v>0</v>
      </c>
    </row>
    <row r="43" spans="1:7" s="20" customFormat="1" ht="14.25" customHeight="1">
      <c r="B43" s="21"/>
      <c r="C43" s="21"/>
      <c r="D43" s="21"/>
      <c r="E43" s="21"/>
      <c r="F43" s="22"/>
      <c r="G43" s="23"/>
    </row>
    <row r="44" spans="1:7">
      <c r="B44" s="19" t="s">
        <v>24</v>
      </c>
      <c r="C44" s="50" t="s">
        <v>23</v>
      </c>
      <c r="D44" s="50"/>
      <c r="E44" s="5"/>
      <c r="F44" s="5"/>
      <c r="G44" s="5"/>
    </row>
    <row r="45" spans="1:7">
      <c r="B45" s="5"/>
      <c r="C45" s="51" t="s">
        <v>3</v>
      </c>
      <c r="D45" s="51"/>
      <c r="E45" s="5"/>
      <c r="F45" s="5"/>
      <c r="G45" s="5"/>
    </row>
    <row r="46" spans="1:7">
      <c r="C46" s="1"/>
    </row>
  </sheetData>
  <mergeCells count="24">
    <mergeCell ref="C44:D44"/>
    <mergeCell ref="C45:D45"/>
    <mergeCell ref="B36:D36"/>
    <mergeCell ref="A26:D26"/>
    <mergeCell ref="A27:D27"/>
    <mergeCell ref="A28:D28"/>
    <mergeCell ref="A29:D29"/>
    <mergeCell ref="E9:F9"/>
    <mergeCell ref="E11:F11"/>
    <mergeCell ref="A21:D21"/>
    <mergeCell ref="A22:D22"/>
    <mergeCell ref="A23:D23"/>
    <mergeCell ref="A24:D24"/>
    <mergeCell ref="A25:D25"/>
    <mergeCell ref="A17:D17"/>
    <mergeCell ref="A16:D16"/>
    <mergeCell ref="A18:D18"/>
    <mergeCell ref="A19:D19"/>
    <mergeCell ref="A20:D20"/>
    <mergeCell ref="A30:D30"/>
    <mergeCell ref="A31:D31"/>
    <mergeCell ref="A32:D32"/>
    <mergeCell ref="A33:D33"/>
    <mergeCell ref="A34:D34"/>
  </mergeCells>
  <dataValidations count="3">
    <dataValidation type="list" allowBlank="1" showInputMessage="1" showErrorMessage="1" sqref="E38">
      <formula1>"IVA,IGIC"</formula1>
    </dataValidation>
    <dataValidation type="list" allowBlank="1" showInputMessage="1" showErrorMessage="1" sqref="C11">
      <formula1>Clientes</formula1>
    </dataValidation>
    <dataValidation type="list" allowBlank="1" showInputMessage="1" showErrorMessage="1" sqref="A17:D34">
      <formula1>Descripcion</formula1>
    </dataValidation>
  </dataValidations>
  <pageMargins left="0.51181102362204722" right="0.31496062992125984" top="0.74803149606299213" bottom="0.74803149606299213" header="0.31496062992125984" footer="0.31496062992125984"/>
  <pageSetup paperSize="9"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99FF99"/>
  </sheetPr>
  <dimension ref="A1:H5"/>
  <sheetViews>
    <sheetView showGridLines="0" tabSelected="1" workbookViewId="0">
      <selection activeCell="B6" sqref="B6"/>
    </sheetView>
  </sheetViews>
  <sheetFormatPr baseColWidth="10" defaultRowHeight="15"/>
  <cols>
    <col min="1" max="1" width="11.7109375" customWidth="1"/>
    <col min="2" max="2" width="14.5703125" customWidth="1"/>
    <col min="3" max="3" width="9.85546875" customWidth="1"/>
    <col min="4" max="4" width="12.5703125" customWidth="1"/>
    <col min="5" max="5" width="15.7109375" customWidth="1"/>
    <col min="6" max="6" width="11.7109375" customWidth="1"/>
    <col min="7" max="7" width="13.7109375" customWidth="1"/>
    <col min="8" max="8" width="18.85546875" customWidth="1"/>
  </cols>
  <sheetData>
    <row r="1" spans="1:8">
      <c r="A1" s="33" t="s">
        <v>80</v>
      </c>
      <c r="B1" s="33" t="s">
        <v>81</v>
      </c>
      <c r="C1" s="33" t="s">
        <v>5</v>
      </c>
      <c r="D1" s="33" t="s">
        <v>6</v>
      </c>
      <c r="E1" s="33" t="s">
        <v>20</v>
      </c>
      <c r="F1" s="33" t="s">
        <v>82</v>
      </c>
      <c r="G1" s="33" t="s">
        <v>83</v>
      </c>
      <c r="H1" s="33" t="s">
        <v>84</v>
      </c>
    </row>
    <row r="2" spans="1:8" s="35" customFormat="1">
      <c r="B2" s="36"/>
      <c r="H2" s="36"/>
    </row>
    <row r="3" spans="1:8" s="35" customFormat="1">
      <c r="A3"/>
      <c r="B3"/>
      <c r="C3"/>
      <c r="D3"/>
      <c r="E3"/>
      <c r="F3"/>
      <c r="G3"/>
      <c r="H3"/>
    </row>
    <row r="4" spans="1:8" s="35" customFormat="1">
      <c r="A4"/>
      <c r="B4"/>
      <c r="C4"/>
      <c r="D4"/>
      <c r="E4"/>
      <c r="F4"/>
      <c r="G4"/>
      <c r="H4"/>
    </row>
    <row r="5" spans="1:8" s="35" customFormat="1">
      <c r="A5"/>
      <c r="B5"/>
      <c r="C5"/>
      <c r="D5"/>
      <c r="E5"/>
      <c r="F5"/>
      <c r="G5"/>
      <c r="H5"/>
    </row>
  </sheetData>
  <conditionalFormatting sqref="A2">
    <cfRule type="duplicateValues" dxfId="0" priority="8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11"/>
  <sheetViews>
    <sheetView showGridLines="0" workbookViewId="0">
      <selection activeCell="C17" sqref="C17"/>
    </sheetView>
  </sheetViews>
  <sheetFormatPr baseColWidth="10" defaultRowHeight="15"/>
  <cols>
    <col min="3" max="3" width="36.5703125" bestFit="1" customWidth="1"/>
    <col min="5" max="5" width="20.28515625" bestFit="1" customWidth="1"/>
  </cols>
  <sheetData>
    <row r="1" spans="1:5">
      <c r="A1" s="37" t="s">
        <v>5</v>
      </c>
      <c r="B1" s="37" t="s">
        <v>6</v>
      </c>
      <c r="C1" s="37" t="s">
        <v>37</v>
      </c>
      <c r="D1" s="37" t="s">
        <v>43</v>
      </c>
      <c r="E1" s="37" t="s">
        <v>44</v>
      </c>
    </row>
    <row r="2" spans="1:5">
      <c r="A2" t="s">
        <v>27</v>
      </c>
      <c r="B2" t="s">
        <v>32</v>
      </c>
      <c r="C2" t="s">
        <v>39</v>
      </c>
      <c r="D2">
        <v>548798655</v>
      </c>
      <c r="E2" s="30" t="s">
        <v>45</v>
      </c>
    </row>
    <row r="3" spans="1:5">
      <c r="A3" t="s">
        <v>28</v>
      </c>
      <c r="B3" t="s">
        <v>33</v>
      </c>
      <c r="C3" t="s">
        <v>38</v>
      </c>
      <c r="D3">
        <v>254789562</v>
      </c>
      <c r="E3" s="30" t="s">
        <v>46</v>
      </c>
    </row>
    <row r="4" spans="1:5">
      <c r="A4" t="s">
        <v>29</v>
      </c>
      <c r="B4" t="s">
        <v>34</v>
      </c>
      <c r="C4" t="s">
        <v>40</v>
      </c>
      <c r="D4">
        <v>245877455</v>
      </c>
      <c r="E4" s="30" t="s">
        <v>47</v>
      </c>
    </row>
    <row r="5" spans="1:5">
      <c r="A5" t="s">
        <v>30</v>
      </c>
      <c r="B5" t="s">
        <v>35</v>
      </c>
      <c r="C5" t="s">
        <v>41</v>
      </c>
      <c r="D5">
        <v>326598745</v>
      </c>
      <c r="E5" s="30" t="s">
        <v>48</v>
      </c>
    </row>
    <row r="6" spans="1:5">
      <c r="A6" t="s">
        <v>31</v>
      </c>
      <c r="B6" t="s">
        <v>36</v>
      </c>
      <c r="C6" t="s">
        <v>42</v>
      </c>
      <c r="D6">
        <v>326548525</v>
      </c>
      <c r="E6" s="30" t="s">
        <v>49</v>
      </c>
    </row>
    <row r="7" spans="1:5">
      <c r="A7" t="s">
        <v>50</v>
      </c>
      <c r="B7" t="s">
        <v>55</v>
      </c>
      <c r="C7" t="s">
        <v>60</v>
      </c>
      <c r="D7">
        <v>468462213</v>
      </c>
      <c r="E7" s="30" t="s">
        <v>65</v>
      </c>
    </row>
    <row r="8" spans="1:5">
      <c r="A8" t="s">
        <v>51</v>
      </c>
      <c r="B8" t="s">
        <v>56</v>
      </c>
      <c r="C8" t="s">
        <v>61</v>
      </c>
      <c r="D8">
        <v>165332211</v>
      </c>
      <c r="E8" s="30" t="s">
        <v>66</v>
      </c>
    </row>
    <row r="9" spans="1:5">
      <c r="A9" t="s">
        <v>52</v>
      </c>
      <c r="B9" t="s">
        <v>57</v>
      </c>
      <c r="C9" t="s">
        <v>63</v>
      </c>
      <c r="D9">
        <v>166787454</v>
      </c>
      <c r="E9" s="30" t="s">
        <v>67</v>
      </c>
    </row>
    <row r="10" spans="1:5">
      <c r="A10" t="s">
        <v>53</v>
      </c>
      <c r="B10" t="s">
        <v>58</v>
      </c>
      <c r="C10" t="s">
        <v>62</v>
      </c>
      <c r="D10">
        <v>165453344</v>
      </c>
      <c r="E10" s="30" t="s">
        <v>68</v>
      </c>
    </row>
    <row r="11" spans="1:5">
      <c r="A11" t="s">
        <v>54</v>
      </c>
      <c r="B11" t="s">
        <v>59</v>
      </c>
      <c r="C11" t="s">
        <v>64</v>
      </c>
      <c r="D11">
        <v>198645444</v>
      </c>
      <c r="E11" s="30" t="s">
        <v>69</v>
      </c>
    </row>
  </sheetData>
  <hyperlinks>
    <hyperlink ref="E2" r:id="rId1"/>
    <hyperlink ref="E3:E6" r:id="rId2" display="Correo@prueba1.com"/>
    <hyperlink ref="E3" r:id="rId3"/>
    <hyperlink ref="E4" r:id="rId4"/>
    <hyperlink ref="E5" r:id="rId5"/>
    <hyperlink ref="E6" r:id="rId6"/>
    <hyperlink ref="E7" r:id="rId7"/>
    <hyperlink ref="E8:E11" r:id="rId8" display="Correo@prueba1.com"/>
    <hyperlink ref="E8" r:id="rId9"/>
    <hyperlink ref="E9" r:id="rId10"/>
    <hyperlink ref="E10" r:id="rId11"/>
    <hyperlink ref="E11" r:id="rId12"/>
  </hyperlinks>
  <pageMargins left="0.7" right="0.7" top="0.75" bottom="0.75" header="0.3" footer="0.3"/>
  <drawing r:id="rId13"/>
  <tableParts count="1">
    <tablePart r:id="rId1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15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9"/>
  <sheetViews>
    <sheetView showGridLines="0" workbookViewId="0">
      <selection activeCell="A10" sqref="A10"/>
    </sheetView>
  </sheetViews>
  <sheetFormatPr baseColWidth="10" defaultRowHeight="15"/>
  <cols>
    <col min="2" max="2" width="26.28515625" customWidth="1"/>
    <col min="9" max="9" width="19.7109375" bestFit="1" customWidth="1"/>
    <col min="10" max="10" width="22.28515625" bestFit="1" customWidth="1"/>
  </cols>
  <sheetData>
    <row r="1" spans="1:10">
      <c r="A1" s="37" t="s">
        <v>26</v>
      </c>
      <c r="B1" s="37" t="s">
        <v>2</v>
      </c>
      <c r="C1" s="37" t="s">
        <v>0</v>
      </c>
      <c r="I1" s="31" t="s">
        <v>70</v>
      </c>
      <c r="J1" s="31" t="s">
        <v>74</v>
      </c>
    </row>
    <row r="2" spans="1:10">
      <c r="A2" t="s">
        <v>77</v>
      </c>
      <c r="B2" t="s">
        <v>71</v>
      </c>
      <c r="C2" s="32">
        <v>50</v>
      </c>
      <c r="I2" t="s">
        <v>71</v>
      </c>
      <c r="J2" t="s">
        <v>75</v>
      </c>
    </row>
    <row r="3" spans="1:10">
      <c r="A3" t="s">
        <v>77</v>
      </c>
      <c r="B3" t="s">
        <v>72</v>
      </c>
      <c r="C3" s="32">
        <v>400</v>
      </c>
      <c r="I3" t="s">
        <v>72</v>
      </c>
      <c r="J3" t="s">
        <v>78</v>
      </c>
    </row>
    <row r="4" spans="1:10">
      <c r="A4" t="s">
        <v>77</v>
      </c>
      <c r="B4" t="s">
        <v>73</v>
      </c>
      <c r="C4" s="32">
        <v>900</v>
      </c>
      <c r="I4" t="s">
        <v>73</v>
      </c>
      <c r="J4" t="s">
        <v>79</v>
      </c>
    </row>
    <row r="5" spans="1:10">
      <c r="A5" t="s">
        <v>77</v>
      </c>
      <c r="B5" t="s">
        <v>76</v>
      </c>
      <c r="C5" s="32">
        <v>1500</v>
      </c>
      <c r="I5" t="s">
        <v>76</v>
      </c>
      <c r="J5" t="s">
        <v>85</v>
      </c>
    </row>
    <row r="6" spans="1:10">
      <c r="A6" t="s">
        <v>74</v>
      </c>
      <c r="B6" t="s">
        <v>75</v>
      </c>
      <c r="C6" s="32">
        <v>97</v>
      </c>
    </row>
    <row r="7" spans="1:10">
      <c r="A7" t="s">
        <v>74</v>
      </c>
      <c r="B7" t="s">
        <v>78</v>
      </c>
      <c r="C7" s="32">
        <v>167</v>
      </c>
    </row>
    <row r="8" spans="1:10">
      <c r="A8" t="s">
        <v>74</v>
      </c>
      <c r="B8" t="s">
        <v>79</v>
      </c>
      <c r="C8" s="32">
        <v>87</v>
      </c>
    </row>
    <row r="9" spans="1:10">
      <c r="A9" t="s">
        <v>74</v>
      </c>
      <c r="B9" t="s">
        <v>85</v>
      </c>
      <c r="C9" s="32">
        <v>90</v>
      </c>
    </row>
  </sheetData>
  <dataValidations count="2">
    <dataValidation type="list" allowBlank="1" showInputMessage="1" showErrorMessage="1" sqref="A2:A9">
      <formula1>"Servicio,Producto"</formula1>
    </dataValidation>
    <dataValidation type="list" allowBlank="1" showInputMessage="1" showErrorMessage="1" sqref="B2:B9">
      <formula1>INDIRECT($A2)</formula1>
    </dataValidation>
  </dataValidations>
  <pageMargins left="0.7" right="0.7" top="0.75" bottom="0.75" header="0.3" footer="0.3"/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Factura</vt:lpstr>
      <vt:lpstr>Histórico</vt:lpstr>
      <vt:lpstr>Clientes</vt:lpstr>
      <vt:lpstr>Servicios</vt:lpstr>
      <vt:lpstr>Factura!Área_de_impresión</vt:lpstr>
      <vt:lpstr>Clientes</vt:lpstr>
      <vt:lpstr>Descripcion</vt:lpstr>
      <vt:lpstr>Producto</vt:lpstr>
      <vt:lpstr>Servicio</vt:lpstr>
    </vt:vector>
  </TitlesOfParts>
  <Company>Kuoni Travel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Antunez</dc:creator>
  <cp:lastModifiedBy>Marisa</cp:lastModifiedBy>
  <cp:lastPrinted>2023-11-01T13:09:18Z</cp:lastPrinted>
  <dcterms:created xsi:type="dcterms:W3CDTF">2018-03-19T14:29:52Z</dcterms:created>
  <dcterms:modified xsi:type="dcterms:W3CDTF">2023-11-01T13:13:51Z</dcterms:modified>
</cp:coreProperties>
</file>